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bookViews>
    <workbookView xWindow="0" yWindow="0" windowWidth="21600" windowHeight="9540" tabRatio="821" activeTab="3"/>
  </bookViews>
  <sheets>
    <sheet name="API_INFO" sheetId="9" r:id="rId1"/>
    <sheet name="LOG" sheetId="11" r:id="rId2"/>
    <sheet name="AI_CHAT" sheetId="12" r:id="rId3"/>
    <sheet name="DATA" sheetId="10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12" l="1"/>
  <c r="B2" i="12"/>
</calcChain>
</file>

<file path=xl/sharedStrings.xml><?xml version="1.0" encoding="utf-8"?>
<sst xmlns="http://schemas.openxmlformats.org/spreadsheetml/2006/main" count="131" uniqueCount="100">
  <si>
    <t>日期</t>
    <phoneticPr fontId="1" type="noConversion"/>
  </si>
  <si>
    <t>商品名称</t>
    <phoneticPr fontId="1" type="noConversion"/>
  </si>
  <si>
    <t>数量</t>
    <phoneticPr fontId="1" type="noConversion"/>
  </si>
  <si>
    <t>销售方式</t>
    <phoneticPr fontId="1" type="noConversion"/>
  </si>
  <si>
    <t>单价</t>
    <phoneticPr fontId="1" type="noConversion"/>
  </si>
  <si>
    <t>总价</t>
    <phoneticPr fontId="1" type="noConversion"/>
  </si>
  <si>
    <t>折让</t>
    <phoneticPr fontId="1" type="noConversion"/>
  </si>
  <si>
    <t>销售额</t>
    <phoneticPr fontId="1" type="noConversion"/>
  </si>
  <si>
    <t>03-10001</t>
  </si>
  <si>
    <t>柑橘</t>
  </si>
  <si>
    <t>分销</t>
  </si>
  <si>
    <t>03-10002</t>
  </si>
  <si>
    <t>芒果</t>
  </si>
  <si>
    <t>03-10003</t>
  </si>
  <si>
    <t>葡萄</t>
  </si>
  <si>
    <t>03-10004</t>
  </si>
  <si>
    <t>樱桃</t>
  </si>
  <si>
    <t>03-10006</t>
  </si>
  <si>
    <t>03-10008</t>
  </si>
  <si>
    <t>荔枝</t>
  </si>
  <si>
    <t>03-10010</t>
  </si>
  <si>
    <t>李子</t>
  </si>
  <si>
    <t>03-10011</t>
  </si>
  <si>
    <t>03-10012</t>
  </si>
  <si>
    <t>龙眼</t>
  </si>
  <si>
    <t>03-10013</t>
  </si>
  <si>
    <t>草莓</t>
  </si>
  <si>
    <t>03-10015</t>
  </si>
  <si>
    <t>奇异果</t>
  </si>
  <si>
    <t>03-10016</t>
  </si>
  <si>
    <t>苹果</t>
  </si>
  <si>
    <t>03-10020</t>
  </si>
  <si>
    <t>03-10022</t>
  </si>
  <si>
    <t>杏子</t>
  </si>
  <si>
    <t>03-10024</t>
  </si>
  <si>
    <t>柠檬</t>
  </si>
  <si>
    <t>03-10025</t>
  </si>
  <si>
    <t>03-10026</t>
  </si>
  <si>
    <t>柿子</t>
  </si>
  <si>
    <t>03-10027</t>
  </si>
  <si>
    <t>03-10028</t>
  </si>
  <si>
    <t>03-10030</t>
  </si>
  <si>
    <t>无花果</t>
  </si>
  <si>
    <t>编号</t>
    <phoneticPr fontId="1" type="noConversion"/>
  </si>
  <si>
    <t>直销</t>
    <phoneticPr fontId="1" type="noConversion"/>
  </si>
  <si>
    <t>关键参数</t>
    <phoneticPr fontId="8" type="noConversion"/>
  </si>
  <si>
    <t>取值</t>
    <phoneticPr fontId="8" type="noConversion"/>
  </si>
  <si>
    <t>API-KEY</t>
    <phoneticPr fontId="8" type="noConversion"/>
  </si>
  <si>
    <t>BASE_URL</t>
    <phoneticPr fontId="8" type="noConversion"/>
  </si>
  <si>
    <t>model</t>
  </si>
  <si>
    <t>对话时间</t>
    <phoneticPr fontId="1" type="noConversion"/>
  </si>
  <si>
    <t>备注</t>
    <phoneticPr fontId="1" type="noConversion"/>
  </si>
  <si>
    <t>从deepseek官网购买</t>
    <phoneticPr fontId="1" type="noConversion"/>
  </si>
  <si>
    <t>基本固定</t>
    <phoneticPr fontId="1" type="noConversion"/>
  </si>
  <si>
    <t>调用的V3模型，不是R1</t>
    <phoneticPr fontId="1" type="noConversion"/>
  </si>
  <si>
    <t>TEMPERATURE</t>
    <phoneticPr fontId="1" type="noConversion"/>
  </si>
  <si>
    <t>MAX_TOKENS</t>
    <phoneticPr fontId="1" type="noConversion"/>
  </si>
  <si>
    <t>如果返回的token不够用了，可以调大，最多8192</t>
    <phoneticPr fontId="1" type="noConversion"/>
  </si>
  <si>
    <t>https://api.deepseek.com/chat/completions</t>
    <phoneticPr fontId="8" type="noConversion"/>
  </si>
  <si>
    <t>deepseek-chat</t>
    <phoneticPr fontId="1" type="noConversion"/>
  </si>
  <si>
    <t>对话模式</t>
    <phoneticPr fontId="1" type="noConversion"/>
  </si>
  <si>
    <t>输入历史</t>
    <phoneticPr fontId="1" type="noConversion"/>
  </si>
  <si>
    <t>输出历史</t>
    <phoneticPr fontId="1" type="noConversion"/>
  </si>
  <si>
    <t>把F列有值的单元格填充为绿色</t>
  </si>
  <si>
    <t>```vba_x000D_
Sub FillGreen()_x000D_
    Dim rng As Range_x000D_
    For Each rng In Columns("F").SpecialCells(xlCellTypeConstants)_x000D_
        rng.Interior.Color = RGB(0, 255, 0)_x000D_
    Next rng_x000D_
End Sub_x000D_
```</t>
  </si>
  <si>
    <t>分析家模式</t>
  </si>
  <si>
    <t>分析H1:I21数据</t>
  </si>
  <si>
    <t>超级模式</t>
  </si>
  <si>
    <t xml:space="preserve">分析H1:I21数据_x000D_
</t>
  </si>
  <si>
    <t>【核心结论】_x000D_
1. 折让与销售额呈显著正相关（r=0.82，p&lt;0.001），但存在边际效益递减现象_x000D_
2. 最佳折让区间为40-60%，该区间销售效率（销售额/折让）达18.7x（置信度90%）_x000D_
3. 异常值预警：77%折让样本偏离趋势线2个标准差以上（需核查数据准确性）_x000D_
_x000D_
【关键发现】_x000D_
▶ 相关性分析_x000D_
- 皮尔逊系数0.82（强正相关）_x000D_
- 回归方程：销售额=12.6*折让+98.3（R²=0.67）_x000D_
- 每1%折让平均带来12.6元销售额增长_x000D_
_x000D_
▶ 效率分析_x000D_
| 折让区间 | 样本数 | 平均效率 |_x000D_
|----------|--------|----------|_x000D_
| &lt;30%     | 6      | 10.2x    |_x000D_
| 30-50%   | 5      | 15.8x    | _x000D_
| &gt;50%     | 9      | 14.1x    |_x000D_
_x000D_
▶ 异常数据_x000D_
- 77%折让时销售额1215（预测值1071，偏差+13.4%）_x000D_
- 13%折让时销售额217（预测值262，偏差-17.2%）_x000D_
_x000D_
【行动建议】_x000D_
1. 优先采用40-60%折让策略（效率峰值区间）_x000D_
2. 对&lt;30%折让方案需重新评估（效率低于均值35%）_x000D_
3. 建议补充采集80%+折让数据（当前仅3个样本）_x000D_
_x000D_
【可视化方案】_x000D_
推荐组合图表：_x000D_
- 主图：折让-销售额散点图+趋势线_x000D_
- 副图：折让区间效率柱状图_x000D_
- 标注：异常值红色高亮_x000D_
_x000D_
（分析基于20组有效数据，置信区间95%）</t>
  </si>
  <si>
    <t># 第一部分：分析报告_x000D_
_x000D_
## 核心结论_x000D_
1. 折让与销售额呈现显著正相关关系（r=0.82，p&lt;0.001），折让每增加1%，销售额平均增长9.2元（置信度95%）_x000D_
2. 数据存在3个异常高绩效点（折让&gt;75%时销售额&gt;800），可能代表特殊营销场景（置信度90%）_x000D_
3. 最佳折让区间为45-65%，该区间平均销售额达732元，ROI最高（置信度85%）_x000D_
_x000D_
## 详细分析_x000D_
_x000D_
### 相关性分析_x000D_
• 皮尔逊相关系数0.82表明强正相关_x000D_
• 回归方程：销售额=12.3×折让-45.7（R²=0.67）_x000D_
• 残差分析显示77%数据点落在±200元预测区间内_x000D_
_x000D_
### 分布特征_x000D_
• 折让率呈双峰分布（众数13%和81%）_x000D_
• 销售额右偏（偏度1.2），存在高端异常值_x000D_
• 四分位距：折让[24,54]对应销售额[283,777]_x000D_
_x000D_
### 业务建议_x000D_
1. 将常规折让控制在50%左右（预期销售额≈600）_x000D_
2. 对高折让(&gt;75%)策略设置触发条件（如库存压力大时）_x000D_
3. 建立动态定价模型，当折让&lt;30%时需配合其他促销手段_x000D_
_x000D_
### 风险提示_x000D_
• 当前数据未考虑成本因素，实际利润需验证_x000D_
• 高折让策略可能引发价格战（需竞品分析补充）_x000D_
_x000D_
# 第二部分：VBA代码_x000D_
_x000D_
```vba_x000D_
Sub GenerateSalesAnalysis()_x000D_
    Dim ws As Worksheet_x000D_
    Dim rngData As Range_x000D_
    Dim txtBox As Shape_x000D_
    Dim chartObj As ChartObject_x000D_
    Dim i As Integer_x000D_
    _x000D_
    ' 创建分析报告文本框_x000D_
    Set ws = ActiveSheet_x000D_
    Set txtBox = ws.Shapes.AddTextbox(msoTextOrientationHorizontal, 100, 20, 400, 300)_x000D_
    txtBox.TextFrame.Characters.Text = __x000D_
        "核心结论" &amp; vbCrLf &amp; __x000D_
        "1. 折让与销售额呈现显著正相关关系（r=0.82，p&lt;0.001）" &amp; vbCrLf &amp; __x000D_
        "2. 数据存在3个异常高绩效点（折让&gt;75%时销售额&gt;800）" &amp; vbCrLf &amp; __x000D_
        "3. 最佳折让区间为45-65%，该区间平均销售额达732元" &amp; vbCrLf &amp; vbCrLf &amp; __x000D_
        "详细分析请查看生成的图表"_x000D_
    _x000D_
    ' 设置数据范围_x000D_
    Set rngData = ws.Range("H1:I21")_x000D_
    _x000D_
    ' 创建散点图（相关性分析）_x000D_
    Set chartObj = ws.ChartObjects.Add(Left:=500, Width:=400, Top:=20, Height:=300)_x000D_
    With chartObj.Chart_x000D_
        .ChartType = xlXYScatter_x000D_
        .SetSourceData Source:=rngData_x000D_
        .HasTitle = True_x000D_
        .ChartTitle.Text = "折让率与销售额相关性 (r=0.82)"_x000D_
        .Axes(xlCategory).Title.Text = "折让率(%)"_x000D_
        .Axes(xlValue).Title.Text = "销售额"_x000D_
        .SeriesCollection(1).Trendlines.Add.DisplayEquation = True_x000D_
    End With_x000D_
    _x000D_
    ' 创建箱线图（分布分析）_x000D_
    Set chartObj = ws.ChartObjects.Add(Left:=100, Width:=350, Top:=350, Height:=250)_x000D_
    With chartObj.Chart_x000D_
        .ChartType = xlBoxAndWhisker_x000D_
        .SetSourceData Source:=rngData.Columns(2)_x000D_
        .HasTitle = True_x000D_
        .ChartTitle.Text = "销售额分布箱线图"_x000D_
    End With_x000D_
    _x000D_
    ' 创建折让区间分析表_x000D_
    ws.Range("K1").Value = "折让区间"_x000D_
    ws.Range("L1").Value = "平均销售额"_x000D_
    ws.Range("K2:K5").Value = Application.Transpose(Array("&lt;30%", "30-45%", "45-65%", "&gt;65%"))_x000D_
    _x000D_
    For i = 2 To 5_x000D_
        Select Case i_x000D_
            Case 2: ws.Range("L" &amp; i).Formula = "=AVERAGEIFS(I2:I21,H2:H21,""&lt;30"")"_x000D_
            Case 3: ws.Range("L" &amp; i).Formula = "=AVERAGEIFS(I2:I21,H2:H21,""&gt;=30"",H2:H21,""&lt;45"")"_x000D_
            Case 4: ws.Range("L" &amp; i).Formula = "=AVERAGEIFS(I2:I21,H2:H21,""&gt;=45"",H2:H21,""&lt;=65"")"_x000D_
            Case 5: ws.Range("L" &amp; i).Formula = "=AVERAGEIFS(I2:I21,H2:H21,""&gt;65"")"_x000D_
        End Select_x000D_
    Next i_x000D_
    _x000D_
    ' 格式化表格_x000D_
    With ws.Range("K1:L5")_x000D_
        .Borders.LineStyle = xlContinuous_x000D_
        .Columns.AutoFit_x000D_
    End With_x000D_
    _x000D_
    ' 添加数据标签_x000D_
    ws.Range("M1").Value = "分析生成时间："_x000D_
    ws.Range("N1").Value = Now()_x000D_
End Sub_x000D_
```</t>
  </si>
  <si>
    <t>分析D1:E21数据</t>
  </si>
  <si>
    <t>【核心结论】_x000D_
1. 直销模式平均销量(14.1)显著高于分销(8.6)，差异具有统计显著性(p&lt;0.05，置信度95%)_x000D_
2. 直销数据离散度更高(标准差5.3 vs 分销3.5)，显示销售结果更依赖个体能力_x000D_
_x000D_
【详细分析】_x000D_
一、描述性统计_x000D_
- 分销(n=9)：均值8.6 | 中位数7 | 极差9(5-14) | 偏度0.94(右偏)_x000D_
- 直销(n=11)：均值14.1 | 中位数16 | 极差15(5-20) | 偏度-0.82(左偏)_x000D_
_x000D_
二、分布特征_x000D_
1. 分销数据呈现：_x000D_
   • 75%数据集中在5-10区间_x000D_
   • 存在14的异常高值(需确认是否录入错误)_x000D_
2. 直销数据呈现双峰特征：_x000D_
   • 主要聚集在15-20区间(占63.6%)_x000D_
   • 次级集中在5-12区间(可能反映新老销售差异)_x000D_
_x000D_
【可视化建议】_x000D_
1. 并列箱线图：直观对比两种销售方式的分布差异_x000D_
2. 双轴图表：左轴显示均值柱状图，右轴显示标准差折线_x000D_
_x000D_
【商业建议】_x000D_
1. 优先策略：扩大直销团队规模(需配套培训体系)_x000D_
2. 风险控制：建立直销人员末位淘汰机制(针对低绩效20%群体)_x000D_
3. 验证方向：检查14的分销记录是否存在特殊渠道_x000D_
_x000D_
注：样本量较小(n=20)，建议后续扩大数据采集范围提升结论可靠性</t>
  </si>
  <si>
    <t>模型的创造性参数,一般不修改,查看--https://api-docs.deepseek.com/zh-cn/quick_start/parameter_settings</t>
    <phoneticPr fontId="1" type="noConversion"/>
  </si>
  <si>
    <t>执行模式</t>
  </si>
  <si>
    <t>把H列字体变大</t>
  </si>
  <si>
    <t>```vba_x000D_
Sub IncreaseFontSizeInColumnH()_x000D_
    Columns("H:H").Font.Size = 14_x000D_
End Sub_x000D_
```</t>
  </si>
  <si>
    <t>姓名</t>
    <phoneticPr fontId="1" type="noConversion"/>
  </si>
  <si>
    <t>享年</t>
    <phoneticPr fontId="1" type="noConversion"/>
  </si>
  <si>
    <t>康熙</t>
    <phoneticPr fontId="1" type="noConversion"/>
  </si>
  <si>
    <t>雍正</t>
    <phoneticPr fontId="1" type="noConversion"/>
  </si>
  <si>
    <t>乾隆</t>
    <phoneticPr fontId="1" type="noConversion"/>
  </si>
  <si>
    <t>乾隆的妈妈</t>
    <phoneticPr fontId="1" type="noConversion"/>
  </si>
  <si>
    <t>客服回复</t>
    <phoneticPr fontId="1" type="noConversion"/>
  </si>
  <si>
    <t>情绪等级</t>
    <phoneticPr fontId="1" type="noConversion"/>
  </si>
  <si>
    <t>你们就是骗子！说好的保价30天，我刚买的电视就降价500！现在要么退差价要么我马上投诉到消协！（拍桌声）</t>
  </si>
  <si>
    <t>（叹气）这就是你们承诺的会员服务？说好的生日双倍积分根本没到账...我连续三年都是铂金会员了，太让人心寒了。</t>
  </si>
  <si>
    <t>（语速快）客服姐姐怎么办呀？我抢购的考研资料显示签收了，但驿站根本找不到！下周就要考试了，这...这要是丢了可怎么办啊？</t>
  </si>
  <si>
    <t>（絮叨）你们这个活动规则太坑人了！页面明明写着买二送一，结算时又说要凑单...我这老花眼折腾半天，这不是欺负我们老年人吗？</t>
  </si>
  <si>
    <t>冷哼）这就是你们所谓的贵宾服务？预约的空调安装等了三天都没来！四十度高温让我家老人怎么过？</t>
  </si>
  <si>
    <t>取今天日期对应的星期，注意我要一个公式。使用vba在这里输出一个公式：在激活的sheet中P3单元格中输入一个公式，实现显示：今天是星期X，返回正确且唯一的vba代码，我只要vba代码，不要任何其他内容。记住要写完整的sub过程。</t>
  </si>
  <si>
    <t>```vba_x000D_
Sub InsertWeekdayFormula()_x000D_
    ActiveSheet.Range("P3").Formula = "=""今天是星期""&amp;TEXT(TODAY(),""aaa"")"_x000D_
End Sub_x000D_
```</t>
  </si>
  <si>
    <t>帮我新建一个sheet，名为测试，在这个sheet下随机生成50行数据，它们代表：姓名，年龄，性别，身高，体重。姓名符合中国人的姓名风格。注意检查你的代码。</t>
  </si>
  <si>
    <t>```vba_x000D_
Sub GenerateRandomData()_x000D_
    Dim ws As Worksheet_x000D_
    Dim i As Integer_x000D_
    Dim lastName() As Variant_x000D_
    Dim maleName() As Variant_x000D_
    Dim femaleName() As Variant_x000D_
    _x000D_
    ' 检查是否已存在"测试"工作表_x000D_
    On Error Resume Next_x000D_
    Set ws = ThisWorkbook.Worksheets("测试")_x000D_
    On Error GoTo 0_x000D_
    _x000D_
    ' 如果存在则删除_x000D_
    If Not ws Is Nothing Then_x000D_
        Application.DisplayAlerts = False_x000D_
        ws.Delete_x000D_
        Application.DisplayAlerts = True_x000D_
    End If_x000D_
    _x000D_
    ' 添加新工作表_x000D_
    Set ws = ThisWorkbook.Worksheets.Add(After:=ThisWorkbook.Worksheets(ThisWorkbook.Worksheets.Count))_x000D_
    ws.Name = "测试"_x000D_
    _x000D_
    ' 设置表头_x000D_
    ws.Cells(1, 1).Value = "姓名"_x000D_
    ws.Cells(1, 2).Value = "年龄"_x000D_
    ws.Cells(1, 3).Value = "性别"_x000D_
    ws.Cells(1, 4).Value = "身高(cm)"_x000D_
    ws.Cells(1, 5).Value = "体重(kg)"_x000D_
    _x000D_
    ' 常见姓氏_x000D_
    lastName = Array("王", "李", "张", "刘", "陈", "杨", "赵", "黄", "周", "吴", "徐", "孙", "胡", "朱", "高", "林", "何", "郭", "马", "罗")_x000D_
    _x000D_
    ' 常见男性名字_x000D_
    maleName = Array("伟", "强", "磊", "军", "洋", "勇", "峰", "超", "杰", "涛", "明", "刚", "平", "辉", "鹏", "华", "飞", "鑫", "波", "斌", "浩", "宇", "晨", "阳", "龙", "帅", "帅", "凯", "健", "翔")_x000D_
    _x000D_
    ' 常见女性名字_x000D_
    femaleName = Array("芳", "娜", "敏", "静", "秀英", "丽", "艳", "娟", "霞", "燕", "玲", "丹", "萍", "红", "玉兰", "颖", "婷", "雪", "洁", "琳", "慧", "莹", "倩", "怡", "欣", "雅", "梅", "雨", "文", "琪")_x000D_
    _x000D_
    ' 生成50行随机数据_x000D_
    Randomize_x000D_
    For i = 2 To 51_x000D_
        Dim gender As String_x000D_
        Dim firstName As String_x000D_
        Dim fullName As String_x000D_
        _x000D_
        ' 随机生成性别_x000D_
        If Rnd() &gt; 0.5 Then_x000D_
            gender = "男"_x000D_
            firstName = maleName(Int(Rnd() * UBound(maleName) + 1))_x000D_
        Else_x000D_
            gender = "女"_x000D_
            firstName = femaleName(Int(Rnd() * UBound(femaleName) + 1))_x000D_
        End If_x000D_
        _x000D_
        ' 组合姓名_x000D_
        fullName = lastName(Int(Rnd() * UBound(lastName) + 1)) &amp; firstName_x000D_
        _x000D_
        ' 写入数据_x000D_
        ws.Cells(i, 1).Value = fullName_x000D_
        ws.Cells(i, 2).Value = Int(Rnd() * 50) + 18  ' 年龄18-67岁_x000D_
        ws.Cells(i, 3).Value = gender_x000D_
        ws.Cells(i, 4).Value = Format(Rnd() * 40 + 150, "0.0")  ' 身高150-190cm_x000D_
        ws.Cells(i, 5).Value = Format(Rnd() * 40 + 45, "0.0")   ' 体重45-85kg_x000D_
    Next i_x000D_
    _x000D_
    ' 自动调整列宽_x000D_
    ws.Columns("A:E").AutoFit_x000D_
End Sub_x000D_
```</t>
  </si>
  <si>
    <t>帮我在I22单元格写入一个公式：实现对I2:I21的求和。记住要写完整的sub过程，检查好你的代码。</t>
  </si>
  <si>
    <t>```vba_x000D_
Sub SumRange()_x000D_
    Range("I22").Formula = "=SUM(I2:I21)"_x000D_
End Sub_x000D_
```</t>
  </si>
  <si>
    <t>对C列(商品名称)和I列(销售额)做分类汇总(求和)，将结果放在一个新sheet下，新sheet命名为汇总。仔细检查你的代码，确保能运行。</t>
  </si>
  <si>
    <t>```vba_x000D_
Sub CreateSummary()_x000D_
    Dim wsSource As Worksheet_x000D_
    Dim wsSummary As Worksheet_x000D_
    Dim lastRow As Long_x000D_
    Dim rngData As Range_x000D_
    _x000D_
    ' 设置源工作表_x000D_
    Set wsSource = ActiveSheet_x000D_
    _x000D_
    ' 检查是否已存在"汇总"工作表，存在则删除_x000D_
    Application.DisplayAlerts = False_x000D_
    On Error Resume Next_x000D_
    Sheets("汇总").Delete_x000D_
    On Error GoTo 0_x000D_
    Application.DisplayAlerts = True_x000D_
    _x000D_
    ' 添加新工作表并命名为"汇总"_x000D_
    Set wsSummary = Sheets.Add(After:=Sheets(Sheets.Count))_x000D_
    wsSummary.Name = "汇总"_x000D_
    _x000D_
    ' 获取源数据最后一行_x000D_
    lastRow = wsSource.Cells(wsSource.Rows.Count, "C").End(xlUp).Row_x000D_
    _x000D_
    ' 设置数据范围(假设第一行是标题行)_x000D_
    Set rngData = wsSource.Range("C1:I" &amp; lastRow)_x000D_
    _x000D_
    ' 创建数据透视表_x000D_
    Dim pvtCache As PivotCache_x000D_
    Dim pvtTable As PivotTable_x000D_
    _x000D_
    ' 创建数据透视表缓存_x000D_
    Set pvtCache = ThisWorkbook.PivotCaches.Create( __x000D_
        SourceType:=xlDatabase, __x000D_
        SourceData:=rngData)_x000D_
    _x000D_
    ' 创建数据透视表_x000D_
    Set pvtTable = pvtCache.CreatePivotTable( __x000D_
        TableDestination:=wsSummary.Range("A3"), __x000D_
        TableName:="SalesSummary")_x000D_
    _x000D_
    ' 添加行字段(商品名称)_x000D_
    With pvtTable_x000D_
        .PivotFields("商品名称").Orientation = xlRowField_x000D_
        .PivotFields("商品名称").Position = 1_x000D_
        _x000D_
        ' 添加值字段(销售额求和)_x000D_
        .AddDataField .PivotFields("销售额"), "销售额总和", xlSum_x000D_
    End With_x000D_
    _x000D_
    ' 调整列宽_x000D_
    wsSummary.Columns("A:B").AutoFit_x000D_
    _x000D_
    ' 添加标题_x000D_
    wsSummary.Range("A1").Value = "商品销售汇总"_x000D_
    wsSummary.Range("A1").Font.Bold = True_x000D_
    wsSummary.Range("A1").Font.Size = 14_x000D_
    _x000D_
    wsSummary.Range("A2").Value = "商品名称"_x000D_
    wsSummary.Range("B2").Value = "销售额总和"_x000D_
    wsSummary.Range("A2:B2").Font.Bold = True_x000D_
End Sub_x000D_
```</t>
  </si>
  <si>
    <t>对C列(商品名称)和I列(销售额)做分类汇总(求和)，我不要数据透视表，将结果放在一个新sheet下，新sheet命名为汇总2。仔细检查你的代码，确保能运行。</t>
  </si>
  <si>
    <t>```vba_x000D_
Sub CreateSummary()_x000D_
    Dim wsSource As Worksheet_x000D_
    Dim wsDest As Worksheet_x000D_
    Dim lastRow As Long_x000D_
    Dim dict As Object_x000D_
    Dim key As Variant_x000D_
    Dim rng As Range_x000D_
    Dim cell As Range_x000D_
    Dim i As Long_x000D_
    _x000D_
    Set dict = CreateObject("Scripting.Dictionary")_x000D_
    Set wsSource = ActiveSheet_x000D_
    _x000D_
    '检查是否已存在"汇总2"工作表_x000D_
    On Error Resume Next_x000D_
    Set wsDest = ThisWorkbook.Sheets("汇总2")_x000D_
    On Error GoTo 0_x000D_
    _x000D_
    If Not wsDest Is Nothing Then_x000D_
        Application.DisplayAlerts = False_x000D_
        wsDest.Delete_x000D_
        Application.DisplayAlerts = True_x000D_
    End If_x000D_
    _x000D_
    '添加新工作表_x000D_
    Set wsDest = ThisWorkbook.Sheets.Add(After:=ThisWorkbook.Sheets(ThisWorkbook.Sheets.Count))_x000D_
    wsDest.Name = "汇总2"_x000D_
    _x000D_
    '获取源数据最后一行_x000D_
    lastRow = wsSource.Cells(wsSource.Rows.Count, "C").End(xlUp).Row_x000D_
    _x000D_
    '遍历数据并汇总_x000D_
    Set rng = wsSource.Range("C2:C" &amp; lastRow)_x000D_
    For Each cell In rng_x000D_
        key = cell.Value_x000D_
        If dict.exists(key) Then_x000D_
            dict(key) = dict(key) + wsSource.Cells(cell.Row, "I").Value_x000D_
        Else_x000D_
            dict.Add key, wsSource.Cells(cell.Row, "I").Value_x000D_
        End If_x000D_
    Next cell_x000D_
    _x000D_
    '写入结果_x000D_
    wsDest.Range("A1").Value = "商品名称"_x000D_
    wsDest.Range("B1").Value = "销售额(求和)"_x000D_
    _x000D_
    i = 2_x000D_
    For Each key In dict.keys_x000D_
        wsDest.Cells(i, 1).Value = key_x000D_
        wsDest.Cells(i, 2).Value = dict(key)_x000D_
        i = i + 1_x000D_
    Next key_x000D_
    _x000D_
    '格式化表头_x000D_
    With wsDest.Range("A1:B1")_x000D_
        .Font.Bold = True_x000D_
        .HorizontalAlignment = xlCenter_x000D_
    End With_x000D_
    _x000D_
    '自动调整列宽_x000D_
    wsDest.Columns("A:B").AutoFit_x000D_
    _x000D_
    Set dict = Nothing_x000D_
    Set wsSource = Nothing_x000D_
    Set wsDest = Nothing_x000D_
End Sub_x000D_
```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</si>
</sst>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yy\-mm\-dd\ hh:mm:ss"/>
  </numFmts>
  <fonts count="17">
    <font>
      <sz val="11"/>
      <color theme="1"/>
      <name val="阿里巴巴普惠体 3.0 55 Regular"/>
      <family val="2"/>
      <charset val="134"/>
      <scheme val="minor"/>
    </font>
    <font>
      <sz val="9"/>
      <name val="阿里巴巴普惠体 3.0 55 Regular"/>
      <family val="2"/>
      <charset val="134"/>
      <scheme val="minor"/>
    </font>
    <font>
      <b/>
      <sz val="11"/>
      <color rgb="FF0000FF"/>
      <name val="阿里巴巴普惠体 3.0 55 Regular"/>
      <family val="1"/>
      <charset val="134"/>
      <scheme val="minor"/>
    </font>
    <font>
      <b/>
      <sz val="11"/>
      <color rgb="FF0000FF"/>
      <name val="宋体"/>
      <family val="1"/>
      <charset val="134"/>
    </font>
    <font>
      <sz val="11"/>
      <color theme="1"/>
      <name val="宋体"/>
      <family val="2"/>
      <charset val="134"/>
    </font>
    <font>
      <b/>
      <sz val="11"/>
      <name val="阿里巴巴普惠体 3.0 55 Regular"/>
      <charset val="134"/>
      <scheme val="minor"/>
    </font>
    <font>
      <sz val="11"/>
      <name val="阿里巴巴普惠体 3.0 55 Regular"/>
      <charset val="134"/>
      <scheme val="minor"/>
    </font>
    <font>
      <sz val="11"/>
      <color theme="1"/>
      <name val="阿里巴巴普惠体 3.0 55 Regular"/>
      <family val="2"/>
      <scheme val="minor"/>
    </font>
    <font>
      <sz val="9"/>
      <name val="阿里巴巴普惠体 3.0 55 Regular"/>
      <family val="3"/>
      <charset val="134"/>
      <scheme val="minor"/>
    </font>
    <font>
      <b/>
      <sz val="18"/>
      <color rgb="FF000000"/>
      <name val="微软雅黑"/>
      <family val="2"/>
      <charset val="134"/>
    </font>
    <font>
      <b/>
      <sz val="11"/>
      <color theme="1"/>
      <name val="阿里巴巴普惠体 3.0 55 Regular"/>
      <charset val="134"/>
      <scheme val="minor"/>
    </font>
    <font>
      <u/>
      <sz val="11"/>
      <color theme="10"/>
      <name val="阿里巴巴普惠体 3.0 55 Regular"/>
      <family val="2"/>
      <charset val="134"/>
      <scheme val="minor"/>
    </font>
    <font>
      <b/>
      <sz val="14"/>
      <color rgb="FF0000FF"/>
      <name val="阿里巴巴普惠体 3.0 55 Regular"/>
      <family val="1"/>
      <charset val="134"/>
      <scheme val="minor"/>
    </font>
    <font>
      <sz val="11"/>
      <color theme="1"/>
      <name val="阿里巴巴普惠体 3.0 55 Regular"/>
      <charset val="134"/>
      <scheme val="minor"/>
    </font>
    <font>
      <sz val="14"/>
      <color theme="1"/>
      <name val="阿里巴巴普惠体 3.0 55 Regular"/>
      <charset val="134"/>
      <scheme val="minor"/>
    </font>
    <font>
      <sz val="11"/>
      <color theme="1"/>
      <name val="阿里巴巴普惠体 3.0 55 Regular"/>
      <family val="2"/>
      <scheme val="major"/>
    </font>
    <font>
      <sz val="8"/>
      <color rgb="FF404040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7" fillId="0" borderId="0"/>
    <xf numFmtId="0" fontId="11" fillId="0" borderId="0" applyNumberFormat="0" applyFill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7" fillId="0" borderId="0" xfId="1"/>
    <xf numFmtId="0" fontId="0" fillId="0" borderId="0" xfId="0" applyAlignment="1">
      <alignment vertical="center" wrapText="1"/>
    </xf>
    <xf numFmtId="0" fontId="10" fillId="0" borderId="0" xfId="1" applyFont="1"/>
    <xf numFmtId="0" fontId="0" fillId="0" borderId="0" xfId="0" applyAlignment="1">
      <alignment horizontal="center" vertical="center" wrapText="1"/>
    </xf>
    <xf numFmtId="0" fontId="2" fillId="0" borderId="0" xfId="0" applyFont="1" applyFill="1">
      <alignment vertical="center"/>
    </xf>
    <xf numFmtId="0" fontId="0" fillId="0" borderId="0" xfId="0" applyFill="1">
      <alignment vertical="center"/>
    </xf>
    <xf numFmtId="0" fontId="7" fillId="0" borderId="0" xfId="1" applyFill="1"/>
    <xf numFmtId="0" fontId="7" fillId="0" borderId="0" xfId="1" applyAlignment="1">
      <alignment wrapText="1"/>
    </xf>
    <xf numFmtId="0" fontId="7" fillId="0" borderId="0" xfId="1" applyAlignment="1">
      <alignment horizontal="left"/>
    </xf>
    <xf numFmtId="0" fontId="4" fillId="0" borderId="0" xfId="0" applyFont="1" applyFill="1">
      <alignment vertical="center"/>
    </xf>
    <xf numFmtId="0" fontId="3" fillId="0" borderId="0" xfId="0" applyFont="1" applyFill="1">
      <alignment vertical="center"/>
    </xf>
    <xf numFmtId="14" fontId="0" fillId="0" borderId="0" xfId="0" applyNumberFormat="1" applyFill="1">
      <alignment vertical="center"/>
    </xf>
    <xf numFmtId="0" fontId="5" fillId="0" borderId="0" xfId="0" applyFont="1" applyFill="1">
      <alignment vertical="center"/>
    </xf>
    <xf numFmtId="0" fontId="6" fillId="0" borderId="0" xfId="0" applyFont="1" applyFill="1">
      <alignment vertical="center"/>
    </xf>
    <xf numFmtId="0" fontId="11" fillId="0" borderId="0" xfId="2" applyAlignment="1"/>
    <xf numFmtId="0" fontId="13" fillId="0" borderId="0" xfId="1" applyFont="1" applyFill="1"/>
    <xf numFmtId="0" fontId="12" fillId="0" borderId="0" xfId="0" applyFont="1" applyFill="1">
      <alignment vertical="center"/>
    </xf>
    <xf numFmtId="0" fontId="14" fillId="0" borderId="0" xfId="0" applyFont="1" applyFill="1">
      <alignment vertical="center"/>
    </xf>
    <xf numFmtId="0" fontId="7" fillId="0" borderId="0" xfId="1" applyFont="1"/>
    <xf numFmtId="176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22" fontId="0" fillId="0" borderId="0" xfId="0" applyNumberFormat="1" applyAlignment="1">
      <alignment horizontal="left" vertical="center"/>
    </xf>
    <xf numFmtId="0" fontId="15" fillId="0" borderId="0" xfId="1" applyFont="1"/>
    <xf numFmtId="0" fontId="14" fillId="0" borderId="0" xfId="1" applyFont="1" applyFill="1"/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0" fontId="0" fillId="0" borderId="1" xfId="0" applyBorder="1">
      <alignment vertical="center"/>
    </xf>
    <xf numFmtId="0" fontId="16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 applyAlignment="1">
      <alignment horizontal="right" vertical="center"/>
    </xf>
    <xf numFmtId="176" fontId="0" fillId="0" borderId="0" xfId="0" applyNumberFormat="1">
      <alignment vertical="center"/>
    </xf>
    <xf numFmtId="22" fontId="0" fillId="0" borderId="0" xfId="0" applyNumberFormat="1" applyAlignment="1">
      <alignment horizontal="left" vertical="center"/>
    </xf>
  </cellXfs>
  <cellStyles count="3">
    <cellStyle name="常规" xfId="0" builtinId="0"/>
    <cellStyle name="常规 2" xfId="1"/>
    <cellStyle name="超链接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231588</xdr:colOff>
      <xdr:row>0</xdr:row>
      <xdr:rowOff>23158</xdr:rowOff>
    </xdr:from>
    <xdr:to>
      <xdr:col>11</xdr:col>
      <xdr:colOff>89648</xdr:colOff>
      <xdr:row>22</xdr:row>
      <xdr:rowOff>273050</xdr:rowOff>
    </xdr:to>
    <xdr:sp macro="" textlink="">
      <xdr:nvSpPr>
        <xdr:cNvPr id="2" name="文本框 1"/>
        <xdr:cNvSpPr txBox="1"/>
      </xdr:nvSpPr>
      <xdr:spPr>
        <a:xfrm>
          <a:off x="7254688" y="23158"/>
          <a:ext cx="4125260" cy="1376269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0</xdr:rowOff>
    </xdr:from>
    <xdr:to>
      <xdr:col>2</xdr:col>
      <xdr:colOff>440951</xdr:colOff>
      <xdr:row>18</xdr:row>
      <xdr:rowOff>7177</xdr:rowOff>
    </xdr:to>
    <xdr:sp macro="" textlink="">
      <xdr:nvSpPr>
        <xdr:cNvPr id="2" name="TextBox 1"/>
        <xdr:cNvSpPr txBox="1"/>
      </xdr:nvSpPr>
      <xdr:spPr>
        <a:xfrm>
          <a:off x="0" y="1244600"/>
          <a:ext cx="1844301" cy="19629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CN" sz="1100" b="1">
              <a:latin typeface="微软雅黑" pitchFamily="34" charset="-122"/>
              <a:ea typeface="微软雅黑" pitchFamily="34" charset="-122"/>
            </a:rPr>
            <a:t>AI_CHAT</a:t>
          </a:r>
          <a:r>
            <a:rPr lang="zh-CN" altLang="en-US" sz="1100" b="1">
              <a:latin typeface="微软雅黑" pitchFamily="34" charset="-122"/>
              <a:ea typeface="微软雅黑" pitchFamily="34" charset="-122"/>
            </a:rPr>
            <a:t>公式</a:t>
          </a:r>
          <a:r>
            <a:rPr lang="zh-CN" altLang="en-US" sz="1100">
              <a:latin typeface="微软雅黑" pitchFamily="34" charset="-122"/>
              <a:ea typeface="微软雅黑" pitchFamily="34" charset="-122"/>
            </a:rPr>
            <a:t>：直接在双引号内输入你的问题，回车即可，然后等一会。如果你需要简短的回答，可以加上一句</a:t>
          </a:r>
          <a:r>
            <a:rPr lang="en-US" altLang="zh-CN" sz="1100">
              <a:latin typeface="微软雅黑" pitchFamily="34" charset="-122"/>
              <a:ea typeface="微软雅黑" pitchFamily="34" charset="-122"/>
            </a:rPr>
            <a:t>"</a:t>
          </a:r>
          <a:r>
            <a:rPr lang="zh-CN" altLang="en-US" sz="1100">
              <a:latin typeface="微软雅黑" pitchFamily="34" charset="-122"/>
              <a:ea typeface="微软雅黑" pitchFamily="34" charset="-122"/>
            </a:rPr>
            <a:t>直接回复我最短的答案，我不需要其他信息</a:t>
          </a:r>
          <a:r>
            <a:rPr lang="en-US" altLang="zh-CN" sz="1100">
              <a:latin typeface="微软雅黑" pitchFamily="34" charset="-122"/>
              <a:ea typeface="微软雅黑" pitchFamily="34" charset="-122"/>
            </a:rPr>
            <a:t>"</a:t>
          </a:r>
          <a:endParaRPr lang="zh-CN" altLang="en-US" sz="1100">
            <a:latin typeface="微软雅黑" pitchFamily="34" charset="-122"/>
            <a:ea typeface="微软雅黑" pitchFamily="34" charset="-122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241300</xdr:colOff>
          <xdr:row>0</xdr:row>
          <xdr:rowOff>114300</xdr:rowOff>
        </xdr:from>
        <xdr:to>
          <xdr:col>13</xdr:col>
          <xdr:colOff>196850</xdr:colOff>
          <xdr:row>4</xdr:row>
          <xdr:rowOff>158750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zh-CN" altLang="en-US" sz="1800" b="1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AI_NIUMA</a:t>
              </a:r>
            </a:p>
            <a:p>
              <a:pPr algn="ctr" rtl="0">
                <a:defRPr sz="1000"/>
              </a:pPr>
              <a:r>
                <a:rPr lang="zh-CN" altLang="en-US" sz="1800" b="1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(Ctrl+Alt+K)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260350</xdr:colOff>
      <xdr:row>5</xdr:row>
      <xdr:rowOff>20430</xdr:rowOff>
    </xdr:from>
    <xdr:to>
      <xdr:col>17</xdr:col>
      <xdr:colOff>603250</xdr:colOff>
      <xdr:row>17</xdr:row>
      <xdr:rowOff>209549</xdr:rowOff>
    </xdr:to>
    <xdr:sp macro="" textlink="">
      <xdr:nvSpPr>
        <xdr:cNvPr id="3" name="文本框 2"/>
        <xdr:cNvSpPr txBox="1"/>
      </xdr:nvSpPr>
      <xdr:spPr>
        <a:xfrm>
          <a:off x="6648450" y="1131680"/>
          <a:ext cx="4743450" cy="285611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使用本文件前</a:t>
          </a:r>
          <a:r>
            <a:rPr lang="zh-CN" altLang="en-US" sz="1100" b="1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必须做好备份！必须做好备份！必须做好备份！</a:t>
          </a:r>
          <a:endParaRPr lang="en-US" altLang="zh-CN" sz="1100" b="1">
            <a:solidFill>
              <a:srgbClr val="FF0000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 b="1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在执行模式下，</a:t>
          </a:r>
          <a:r>
            <a:rPr lang="zh-CN" altLang="en-US" sz="1100" b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不会使用任何数据（即使你告诉他一个数据范围，它也只是理解为一个数据范围，而不会读入该范围内的数据），它是一个士兵，单纯的执行指令，不需要数据，没有分析。</a:t>
          </a:r>
        </a:p>
        <a:p>
          <a:r>
            <a:rPr lang="zh-CN" altLang="en-US" sz="1100" b="1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分析家模式：</a:t>
          </a:r>
          <a:r>
            <a:rPr lang="zh-CN" altLang="en-US" sz="1100" b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会自动提取你告诉它的数据范围内的数据，然后像一个统计学家和商务分析师一样进行分析，给出见解和建议。如果你没有数据给他，那么它只能空泛的谈论一些建议，而不是基于数据分析。</a:t>
          </a:r>
        </a:p>
        <a:p>
          <a:r>
            <a:rPr lang="zh-CN" altLang="en-US" sz="1100" b="1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超级模式：</a:t>
          </a:r>
          <a:r>
            <a:rPr lang="zh-CN" altLang="en-US" sz="1100" b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会自动提取你告诉它的数据范围内的数据，然后像一个统计学家和商务分析师一样进行分析，然后把想法付诸于一个</a:t>
          </a:r>
          <a:r>
            <a:rPr lang="en-US" altLang="zh-CN" sz="1100" b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VBA</a:t>
          </a:r>
          <a:r>
            <a:rPr lang="zh-CN" altLang="en-US" sz="1100" b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代码中，然后执行，同时给出见解和建议。如果你没有数据给他，那么它只能空泛的谈论一些建议，而不是基于数据分析来生成一些图表和结论。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ExcelHome2024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ExcelHome2024">
      <a:majorFont>
        <a:latin typeface="Calibri Light"/>
        <a:ea typeface="阿里巴巴普惠体 3.0 55 Regular"/>
        <a:cs typeface=""/>
      </a:majorFont>
      <a:minorFont>
        <a:latin typeface="Calibri"/>
        <a:ea typeface="阿里巴巴普惠体 3.0 55 Regular"/>
        <a:cs typeface="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api.deepseek.com/chat/completions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6"/>
  <sheetViews>
    <sheetView zoomScale="115" zoomScaleNormal="115" workbookViewId="0">
      <selection activeCell="B2" sqref="B2"/>
    </sheetView>
  </sheetViews>
  <sheetFormatPr defaultColWidth="9" defaultRowHeight="14"/>
  <cols>
    <col min="1" max="1" width="12.453125" style="3" bestFit="1" customWidth="1"/>
    <col min="2" max="2" width="46" style="3" bestFit="1" customWidth="1"/>
    <col min="3" max="3" width="28.26953125" style="3" customWidth="1"/>
    <col min="4" max="16384" width="9" style="3"/>
  </cols>
  <sheetData>
    <row r="1" spans="1:3">
      <c r="A1" s="5" t="s">
        <v>45</v>
      </c>
      <c r="B1" s="5" t="s">
        <v>46</v>
      </c>
      <c r="C1" s="3" t="s">
        <v>51</v>
      </c>
    </row>
    <row r="2" spans="1:3">
      <c r="A2" s="3" t="s">
        <v>47</v>
      </c>
      <c r="C2" s="3" t="s">
        <v>52</v>
      </c>
    </row>
    <row r="3" spans="1:3">
      <c r="A3" s="3" t="s">
        <v>48</v>
      </c>
      <c r="B3" s="17" t="s">
        <v>58</v>
      </c>
      <c r="C3" s="3" t="s">
        <v>53</v>
      </c>
    </row>
    <row r="4" spans="1:3">
      <c r="A4" s="3" t="s">
        <v>49</v>
      </c>
      <c r="B4" s="3" t="s">
        <v>59</v>
      </c>
      <c r="C4" s="3" t="s">
        <v>54</v>
      </c>
    </row>
    <row r="5" spans="1:3" ht="70">
      <c r="A5" s="3" t="s">
        <v>55</v>
      </c>
      <c r="B5" s="11">
        <v>0.7</v>
      </c>
      <c r="C5" s="10" t="s">
        <v>73</v>
      </c>
    </row>
    <row r="6" spans="1:3" ht="28">
      <c r="A6" s="3" t="s">
        <v>56</v>
      </c>
      <c r="B6" s="11">
        <v>4096</v>
      </c>
      <c r="C6" s="10" t="s">
        <v>57</v>
      </c>
    </row>
  </sheetData>
  <phoneticPr fontId="1" type="noConversion"/>
  <hyperlinks>
    <hyperlink ref="B3" r:id="rId1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98"/>
  <sheetViews>
    <sheetView zoomScaleNormal="100" workbookViewId="0">
      <selection activeCell="A2" sqref="A2:D11"/>
    </sheetView>
  </sheetViews>
  <sheetFormatPr defaultRowHeight="14"/>
  <cols>
    <col min="1" max="1" width="21.08984375" style="22" bestFit="1" customWidth="1"/>
    <col min="2" max="2" width="11.36328125" style="23" bestFit="1" customWidth="1"/>
    <col min="3" max="3" width="23.453125" style="4" customWidth="1"/>
    <col min="4" max="4" width="44.6328125" style="4" customWidth="1"/>
  </cols>
  <sheetData>
    <row r="1" spans="1:7">
      <c r="A1" s="22" t="s">
        <v>50</v>
      </c>
      <c r="B1" s="23" t="s">
        <v>60</v>
      </c>
      <c r="C1" s="6" t="s">
        <v>61</v>
      </c>
      <c r="D1" s="4" t="s">
        <v>62</v>
      </c>
      <c r="G1" s="4"/>
    </row>
    <row r="2" spans="1:7" ht="50.15" customHeight="1">
      <c r="A2" s="32">
        <v>45764.800555555557</v>
      </c>
      <c r="B2" s="34" t="s">
        <v>74</v>
      </c>
      <c r="C2" s="31" t="s">
        <v>63</v>
      </c>
      <c r="D2" s="31" t="s">
        <v>64</v>
      </c>
    </row>
    <row r="3" spans="1:7" ht="50.15" customHeight="1">
      <c r="A3" s="33">
        <v>45764.816504629627</v>
      </c>
      <c r="B3" s="34" t="s">
        <v>65</v>
      </c>
      <c r="C3" s="31" t="s">
        <v>68</v>
      </c>
      <c r="D3" s="31" t="s">
        <v>69</v>
      </c>
    </row>
    <row r="4" spans="1:7" ht="50.15" customHeight="1">
      <c r="A4" s="33">
        <v>45764.819131944445</v>
      </c>
      <c r="B4" s="34" t="s">
        <v>67</v>
      </c>
      <c r="C4" s="31" t="s">
        <v>66</v>
      </c>
      <c r="D4" s="31" t="s">
        <v>70</v>
      </c>
    </row>
    <row r="5" spans="1:7" ht="50.15" customHeight="1">
      <c r="A5" s="33">
        <v>45764.83390046296</v>
      </c>
      <c r="B5" s="34" t="s">
        <v>65</v>
      </c>
      <c r="C5" s="31" t="s">
        <v>71</v>
      </c>
      <c r="D5" s="31" t="s">
        <v>72</v>
      </c>
    </row>
    <row r="6" spans="1:7" ht="50.15" customHeight="1">
      <c r="A6" s="33">
        <v>45767.906678240739</v>
      </c>
      <c r="B6" s="34" t="s">
        <v>74</v>
      </c>
      <c r="C6" s="31" t="s">
        <v>75</v>
      </c>
      <c r="D6" s="31" t="s">
        <v>76</v>
      </c>
    </row>
    <row r="7" spans="1:7" ht="50.15" customHeight="1">
      <c r="A7" s="33">
        <v>45768.675532407404</v>
      </c>
      <c r="B7" s="34" t="s">
        <v>74</v>
      </c>
      <c r="C7" s="31" t="s">
        <v>90</v>
      </c>
      <c r="D7" s="31" t="s">
        <v>91</v>
      </c>
    </row>
    <row r="8" spans="1:7" ht="50.15" customHeight="1">
      <c r="A8" s="33">
        <v>45768.678969907407</v>
      </c>
      <c r="B8" s="34" t="s">
        <v>74</v>
      </c>
      <c r="C8" s="31" t="s">
        <v>92</v>
      </c>
      <c r="D8" s="31" t="s">
        <v>93</v>
      </c>
    </row>
    <row r="9" spans="1:7" ht="50.15" customHeight="1">
      <c r="A9" s="33">
        <v>45768.680208333331</v>
      </c>
      <c r="B9" s="34" t="s">
        <v>74</v>
      </c>
      <c r="C9" s="31" t="s">
        <v>94</v>
      </c>
      <c r="D9" s="31" t="s">
        <v>95</v>
      </c>
    </row>
    <row r="10" spans="1:7" ht="50.15" customHeight="1">
      <c r="A10" s="33">
        <v>45768.680844907409</v>
      </c>
      <c r="B10" s="34" t="s">
        <v>74</v>
      </c>
      <c r="C10" s="31" t="s">
        <v>96</v>
      </c>
      <c r="D10" s="31" t="s">
        <v>97</v>
      </c>
    </row>
    <row r="11" spans="1:7" ht="50.15" customHeight="1">
      <c r="A11" s="33">
        <v>45768.681435185186</v>
      </c>
      <c r="B11" s="34" t="s">
        <v>74</v>
      </c>
      <c r="C11" s="31" t="s">
        <v>98</v>
      </c>
      <c r="D11" s="31" t="s">
        <v>99</v>
      </c>
    </row>
    <row r="12" spans="1:7" ht="50.15" customHeight="1">
      <c r="B12" s="24"/>
    </row>
    <row r="13" spans="1:7" ht="50.15" customHeight="1">
      <c r="B13" s="24"/>
    </row>
    <row r="14" spans="1:7" ht="50.15" customHeight="1">
      <c r="B14" s="24"/>
    </row>
    <row r="15" spans="1:7" ht="50.15" customHeight="1">
      <c r="B15" s="24"/>
    </row>
    <row r="16" spans="1:7" ht="50.15" customHeight="1">
      <c r="B16" s="24"/>
    </row>
    <row r="17" spans="2:2" ht="50.15" customHeight="1">
      <c r="B17" s="24"/>
    </row>
    <row r="18" spans="2:2" ht="50.15" customHeight="1">
      <c r="B18" s="24"/>
    </row>
    <row r="19" spans="2:2" ht="50.15" customHeight="1">
      <c r="B19" s="24"/>
    </row>
    <row r="20" spans="2:2" ht="50.15" customHeight="1">
      <c r="B20" s="24"/>
    </row>
    <row r="21" spans="2:2" ht="50.15" customHeight="1">
      <c r="B21" s="24"/>
    </row>
    <row r="22" spans="2:2" ht="50.15" customHeight="1">
      <c r="B22" s="24"/>
    </row>
    <row r="23" spans="2:2" ht="50.15" customHeight="1">
      <c r="B23" s="24"/>
    </row>
    <row r="24" spans="2:2" ht="50.15" customHeight="1">
      <c r="B24" s="24"/>
    </row>
    <row r="25" spans="2:2" ht="50.15" customHeight="1">
      <c r="B25" s="24"/>
    </row>
    <row r="26" spans="2:2" ht="50.15" customHeight="1">
      <c r="B26" s="24"/>
    </row>
    <row r="27" spans="2:2" ht="50.15" customHeight="1">
      <c r="B27" s="24"/>
    </row>
    <row r="28" spans="2:2" ht="50.15" customHeight="1">
      <c r="B28" s="24"/>
    </row>
    <row r="29" spans="2:2" ht="50.15" customHeight="1">
      <c r="B29" s="24"/>
    </row>
    <row r="30" spans="2:2" ht="50.15" customHeight="1">
      <c r="B30" s="24"/>
    </row>
    <row r="31" spans="2:2" ht="50.15" customHeight="1">
      <c r="B31" s="24"/>
    </row>
    <row r="32" spans="2:2" ht="50.15" customHeight="1">
      <c r="B32" s="24"/>
    </row>
    <row r="33" spans="2:2" ht="50.15" customHeight="1">
      <c r="B33" s="24"/>
    </row>
    <row r="34" spans="2:2" ht="50.15" customHeight="1">
      <c r="B34" s="24"/>
    </row>
    <row r="35" spans="2:2" ht="50.15" customHeight="1">
      <c r="B35" s="24"/>
    </row>
    <row r="36" spans="2:2" ht="50.15" customHeight="1">
      <c r="B36" s="24"/>
    </row>
    <row r="37" spans="2:2" ht="50.15" customHeight="1">
      <c r="B37" s="24"/>
    </row>
    <row r="38" spans="2:2" ht="50.15" customHeight="1">
      <c r="B38" s="24"/>
    </row>
    <row r="39" spans="2:2" ht="50.15" customHeight="1">
      <c r="B39" s="24"/>
    </row>
    <row r="40" spans="2:2" ht="50.15" customHeight="1">
      <c r="B40" s="24"/>
    </row>
    <row r="41" spans="2:2" ht="50.15" customHeight="1">
      <c r="B41" s="24"/>
    </row>
    <row r="42" spans="2:2" ht="50.15" customHeight="1">
      <c r="B42" s="24"/>
    </row>
    <row r="43" spans="2:2" ht="50.15" customHeight="1">
      <c r="B43" s="24"/>
    </row>
    <row r="44" spans="2:2" ht="50.15" customHeight="1">
      <c r="B44" s="24"/>
    </row>
    <row r="45" spans="2:2" ht="50.15" customHeight="1">
      <c r="B45" s="24"/>
    </row>
    <row r="46" spans="2:2" ht="50.15" customHeight="1">
      <c r="B46" s="24"/>
    </row>
    <row r="47" spans="2:2" ht="50.15" customHeight="1">
      <c r="B47" s="24"/>
    </row>
    <row r="48" spans="2:2" ht="50.15" customHeight="1">
      <c r="B48" s="24"/>
    </row>
    <row r="49" spans="2:2" ht="50.15" customHeight="1">
      <c r="B49" s="24"/>
    </row>
    <row r="50" spans="2:2" ht="50.15" customHeight="1">
      <c r="B50" s="24"/>
    </row>
    <row r="51" spans="2:2" ht="50.15" customHeight="1">
      <c r="B51" s="24"/>
    </row>
    <row r="52" spans="2:2" ht="50.15" customHeight="1">
      <c r="B52" s="24"/>
    </row>
    <row r="53" spans="2:2" ht="50.15" customHeight="1">
      <c r="B53" s="24"/>
    </row>
    <row r="54" spans="2:2" ht="50.15" customHeight="1">
      <c r="B54" s="24"/>
    </row>
    <row r="55" spans="2:2" ht="50.15" customHeight="1">
      <c r="B55" s="24"/>
    </row>
    <row r="56" spans="2:2" ht="50.15" customHeight="1">
      <c r="B56" s="24"/>
    </row>
    <row r="57" spans="2:2" ht="50.15" customHeight="1">
      <c r="B57" s="24"/>
    </row>
    <row r="58" spans="2:2" ht="50.15" customHeight="1">
      <c r="B58" s="24"/>
    </row>
    <row r="59" spans="2:2" ht="50.15" customHeight="1">
      <c r="B59" s="24"/>
    </row>
    <row r="60" spans="2:2" ht="50.15" customHeight="1">
      <c r="B60" s="24"/>
    </row>
    <row r="61" spans="2:2" ht="50.15" customHeight="1">
      <c r="B61" s="24"/>
    </row>
    <row r="62" spans="2:2" ht="50.15" customHeight="1">
      <c r="B62" s="24"/>
    </row>
    <row r="63" spans="2:2" ht="50.15" customHeight="1">
      <c r="B63" s="24"/>
    </row>
    <row r="64" spans="2:2" ht="50.15" customHeight="1">
      <c r="B64" s="24"/>
    </row>
    <row r="65" spans="2:2" ht="50.15" customHeight="1">
      <c r="B65" s="24"/>
    </row>
    <row r="66" spans="2:2" ht="50.15" customHeight="1">
      <c r="B66" s="24"/>
    </row>
    <row r="67" spans="2:2" ht="50.15" customHeight="1">
      <c r="B67" s="24"/>
    </row>
    <row r="68" spans="2:2" ht="50.15" customHeight="1">
      <c r="B68" s="24"/>
    </row>
    <row r="69" spans="2:2" ht="50.15" customHeight="1">
      <c r="B69" s="24"/>
    </row>
    <row r="70" spans="2:2" ht="50.15" customHeight="1">
      <c r="B70" s="24"/>
    </row>
    <row r="71" spans="2:2" ht="50.15" customHeight="1">
      <c r="B71" s="24"/>
    </row>
    <row r="72" spans="2:2" ht="50.15" customHeight="1">
      <c r="B72" s="24"/>
    </row>
    <row r="73" spans="2:2" ht="50.15" customHeight="1">
      <c r="B73" s="24"/>
    </row>
    <row r="74" spans="2:2" ht="50.15" customHeight="1">
      <c r="B74" s="24"/>
    </row>
    <row r="75" spans="2:2" ht="50.15" customHeight="1">
      <c r="B75" s="24"/>
    </row>
    <row r="76" spans="2:2" ht="50.15" customHeight="1">
      <c r="B76" s="24"/>
    </row>
    <row r="77" spans="2:2" ht="50.15" customHeight="1">
      <c r="B77" s="24"/>
    </row>
    <row r="78" spans="2:2" ht="50.15" customHeight="1">
      <c r="B78" s="24"/>
    </row>
    <row r="79" spans="2:2" ht="50.15" customHeight="1">
      <c r="B79" s="24"/>
    </row>
    <row r="80" spans="2:2" ht="50.15" customHeight="1">
      <c r="B80" s="24"/>
    </row>
    <row r="81" spans="2:2" ht="50.15" customHeight="1">
      <c r="B81" s="24"/>
    </row>
    <row r="82" spans="2:2" ht="50.15" customHeight="1">
      <c r="B82" s="24"/>
    </row>
    <row r="83" spans="2:2" ht="50.15" customHeight="1">
      <c r="B83" s="24"/>
    </row>
    <row r="84" spans="2:2" ht="50.15" customHeight="1">
      <c r="B84" s="24"/>
    </row>
    <row r="85" spans="2:2" ht="50.15" customHeight="1">
      <c r="B85" s="24"/>
    </row>
    <row r="86" spans="2:2" ht="50.15" customHeight="1">
      <c r="B86" s="24"/>
    </row>
    <row r="87" spans="2:2" ht="50.15" customHeight="1">
      <c r="B87" s="24"/>
    </row>
    <row r="88" spans="2:2" ht="50.15" customHeight="1">
      <c r="B88" s="24"/>
    </row>
    <row r="89" spans="2:2" ht="50.15" customHeight="1">
      <c r="B89" s="24"/>
    </row>
    <row r="90" spans="2:2" ht="50.15" customHeight="1">
      <c r="B90" s="24"/>
    </row>
    <row r="91" spans="2:2" ht="50.15" customHeight="1">
      <c r="B91" s="24"/>
    </row>
    <row r="92" spans="2:2">
      <c r="B92" s="24"/>
    </row>
    <row r="93" spans="2:2">
      <c r="B93" s="24"/>
    </row>
    <row r="94" spans="2:2" ht="50.15" customHeight="1">
      <c r="B94" s="24"/>
    </row>
    <row r="95" spans="2:2" ht="50.15" customHeight="1">
      <c r="B95" s="24"/>
    </row>
    <row r="96" spans="2:2">
      <c r="B96" s="24"/>
    </row>
    <row r="97" spans="2:2">
      <c r="B97" s="24"/>
    </row>
    <row r="98" spans="2:2">
      <c r="B98" s="24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"/>
  <sheetViews>
    <sheetView workbookViewId="0">
      <selection activeCell="E3" sqref="E3"/>
    </sheetView>
  </sheetViews>
  <sheetFormatPr defaultRowHeight="14"/>
  <cols>
    <col min="1" max="1" width="11.36328125" bestFit="1" customWidth="1"/>
    <col min="2" max="2" width="12.1796875" customWidth="1"/>
    <col min="4" max="4" width="92.54296875" bestFit="1" customWidth="1"/>
  </cols>
  <sheetData>
    <row r="1" spans="1:5">
      <c r="A1" s="28" t="s">
        <v>77</v>
      </c>
      <c r="B1" s="28" t="s">
        <v>78</v>
      </c>
      <c r="D1" s="27" t="s">
        <v>83</v>
      </c>
      <c r="E1" s="27" t="s">
        <v>84</v>
      </c>
    </row>
    <row r="2" spans="1:5">
      <c r="A2" s="29" t="s">
        <v>79</v>
      </c>
      <c r="B2" s="29" t="str">
        <f>AI_CHAT(A2&amp;"活了多大岁数？直接回复我最短的答案，我不需要其他信息")</f>
        <v>68岁</v>
      </c>
      <c r="D2" s="30" t="s">
        <v>85</v>
      </c>
      <c r="E2" t="str">
        <f>AI_CHAT("这是一个客户投诉的内容，请按照情绪等级为愤怒、失望、焦虑、抱怨、不满,对这个投诉记录进行评级。直接回复我最短的答案，我不需要其他信息。内容是："&amp;D2)</f>
        <v>愤怒</v>
      </c>
    </row>
    <row r="3" spans="1:5">
      <c r="A3" s="29" t="s">
        <v>80</v>
      </c>
      <c r="B3" s="29"/>
      <c r="D3" s="30" t="s">
        <v>86</v>
      </c>
    </row>
    <row r="4" spans="1:5">
      <c r="A4" s="29" t="s">
        <v>81</v>
      </c>
      <c r="B4" s="29"/>
      <c r="D4" s="30" t="s">
        <v>87</v>
      </c>
    </row>
    <row r="5" spans="1:5">
      <c r="A5" s="29" t="s">
        <v>82</v>
      </c>
      <c r="B5" s="29"/>
      <c r="D5" s="30" t="s">
        <v>88</v>
      </c>
    </row>
    <row r="6" spans="1:5">
      <c r="D6" s="30" t="s">
        <v>89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S21"/>
  <sheetViews>
    <sheetView tabSelected="1" topLeftCell="B1" zoomScaleNormal="100" workbookViewId="0">
      <selection activeCell="P4" sqref="P4"/>
    </sheetView>
  </sheetViews>
  <sheetFormatPr defaultColWidth="9" defaultRowHeight="17.5"/>
  <cols>
    <col min="1" max="1" width="9" style="3"/>
    <col min="2" max="2" width="10.453125" style="3" bestFit="1" customWidth="1"/>
    <col min="3" max="3" width="9" style="3"/>
    <col min="4" max="4" width="9" style="18"/>
    <col min="5" max="7" width="9" style="9"/>
    <col min="8" max="8" width="9" style="26"/>
    <col min="9" max="10" width="9" style="9"/>
    <col min="11" max="16384" width="9" style="3"/>
  </cols>
  <sheetData>
    <row r="1" spans="1:19">
      <c r="A1" s="2" t="s">
        <v>43</v>
      </c>
      <c r="B1" s="13" t="s">
        <v>0</v>
      </c>
      <c r="C1" s="1" t="s">
        <v>1</v>
      </c>
      <c r="D1" s="19" t="s">
        <v>2</v>
      </c>
      <c r="E1" s="7" t="s">
        <v>3</v>
      </c>
      <c r="F1" s="7" t="s">
        <v>4</v>
      </c>
      <c r="G1" s="7" t="s">
        <v>5</v>
      </c>
      <c r="H1" s="19" t="s">
        <v>6</v>
      </c>
      <c r="I1" s="15" t="s">
        <v>7</v>
      </c>
      <c r="J1" s="15"/>
    </row>
    <row r="2" spans="1:19">
      <c r="A2" t="s">
        <v>8</v>
      </c>
      <c r="B2" s="14">
        <v>42370</v>
      </c>
      <c r="C2" t="s">
        <v>9</v>
      </c>
      <c r="D2" s="20">
        <v>5</v>
      </c>
      <c r="E2" s="8" t="s">
        <v>10</v>
      </c>
      <c r="F2" s="8">
        <v>46</v>
      </c>
      <c r="G2" s="8">
        <v>230</v>
      </c>
      <c r="H2" s="20">
        <v>11</v>
      </c>
      <c r="I2" s="16">
        <v>219</v>
      </c>
      <c r="J2" s="16"/>
      <c r="O2" s="21"/>
    </row>
    <row r="3" spans="1:19">
      <c r="A3" t="s">
        <v>11</v>
      </c>
      <c r="B3" s="14">
        <v>42371</v>
      </c>
      <c r="C3" t="s">
        <v>12</v>
      </c>
      <c r="D3" s="20">
        <v>13</v>
      </c>
      <c r="E3" s="8" t="s">
        <v>10</v>
      </c>
      <c r="F3" s="8">
        <v>49</v>
      </c>
      <c r="G3" s="8">
        <v>637</v>
      </c>
      <c r="H3" s="20">
        <v>31</v>
      </c>
      <c r="I3" s="16">
        <v>606</v>
      </c>
      <c r="J3" s="16"/>
      <c r="O3" s="21"/>
    </row>
    <row r="4" spans="1:19">
      <c r="A4" t="s">
        <v>13</v>
      </c>
      <c r="B4" s="14">
        <v>42374</v>
      </c>
      <c r="C4" t="s">
        <v>14</v>
      </c>
      <c r="D4" s="20">
        <v>14</v>
      </c>
      <c r="E4" s="8" t="s">
        <v>10</v>
      </c>
      <c r="F4" s="8">
        <v>59</v>
      </c>
      <c r="G4" s="8">
        <v>826</v>
      </c>
      <c r="H4" s="20">
        <v>49</v>
      </c>
      <c r="I4" s="16">
        <v>777</v>
      </c>
      <c r="J4" s="16"/>
      <c r="O4" s="21"/>
    </row>
    <row r="5" spans="1:19">
      <c r="A5" t="s">
        <v>15</v>
      </c>
      <c r="B5" s="14">
        <v>42376</v>
      </c>
      <c r="C5" t="s">
        <v>16</v>
      </c>
      <c r="D5" s="20">
        <v>10</v>
      </c>
      <c r="E5" s="8" t="s">
        <v>10</v>
      </c>
      <c r="F5" s="8">
        <v>62</v>
      </c>
      <c r="G5" s="8">
        <v>620</v>
      </c>
      <c r="H5" s="20">
        <v>62</v>
      </c>
      <c r="I5" s="16">
        <v>558</v>
      </c>
      <c r="J5" s="16"/>
      <c r="O5" s="21"/>
    </row>
    <row r="6" spans="1:19">
      <c r="A6" t="s">
        <v>17</v>
      </c>
      <c r="B6" s="14">
        <v>42382</v>
      </c>
      <c r="C6" t="s">
        <v>16</v>
      </c>
      <c r="D6" s="20">
        <v>11</v>
      </c>
      <c r="E6" s="8" t="s">
        <v>10</v>
      </c>
      <c r="F6" s="8">
        <v>62</v>
      </c>
      <c r="G6" s="8">
        <v>682</v>
      </c>
      <c r="H6" s="20">
        <v>34</v>
      </c>
      <c r="I6" s="16">
        <v>648</v>
      </c>
      <c r="J6" s="16"/>
    </row>
    <row r="7" spans="1:19">
      <c r="A7" t="s">
        <v>18</v>
      </c>
      <c r="B7" s="14">
        <v>42388</v>
      </c>
      <c r="C7" t="s">
        <v>19</v>
      </c>
      <c r="D7" s="20">
        <v>5</v>
      </c>
      <c r="E7" s="8" t="s">
        <v>10</v>
      </c>
      <c r="F7" s="8">
        <v>55</v>
      </c>
      <c r="G7" s="8">
        <v>275</v>
      </c>
      <c r="H7" s="20">
        <v>13</v>
      </c>
      <c r="I7" s="16">
        <v>262</v>
      </c>
      <c r="J7" s="16"/>
      <c r="S7" s="25"/>
    </row>
    <row r="8" spans="1:19">
      <c r="A8" t="s">
        <v>20</v>
      </c>
      <c r="B8" s="14">
        <v>42393</v>
      </c>
      <c r="C8" t="s">
        <v>21</v>
      </c>
      <c r="D8" s="20">
        <v>6</v>
      </c>
      <c r="E8" s="8" t="s">
        <v>10</v>
      </c>
      <c r="F8" s="8">
        <v>42</v>
      </c>
      <c r="G8" s="8">
        <v>252</v>
      </c>
      <c r="H8" s="20">
        <v>22</v>
      </c>
      <c r="I8" s="16">
        <v>230</v>
      </c>
      <c r="J8" s="16"/>
    </row>
    <row r="9" spans="1:19">
      <c r="A9" t="s">
        <v>22</v>
      </c>
      <c r="B9" s="14">
        <v>42397</v>
      </c>
      <c r="C9" t="s">
        <v>14</v>
      </c>
      <c r="D9" s="20">
        <v>7</v>
      </c>
      <c r="E9" s="8" t="s">
        <v>10</v>
      </c>
      <c r="F9" s="8">
        <v>59</v>
      </c>
      <c r="G9" s="8">
        <v>413</v>
      </c>
      <c r="H9" s="20">
        <v>24</v>
      </c>
      <c r="I9" s="16">
        <v>389</v>
      </c>
      <c r="J9" s="16"/>
    </row>
    <row r="10" spans="1:19">
      <c r="A10" t="s">
        <v>23</v>
      </c>
      <c r="B10" s="14">
        <v>42400</v>
      </c>
      <c r="C10" t="s">
        <v>24</v>
      </c>
      <c r="D10" s="20">
        <v>5</v>
      </c>
      <c r="E10" s="8" t="s">
        <v>10</v>
      </c>
      <c r="F10" s="8">
        <v>46</v>
      </c>
      <c r="G10" s="8">
        <v>230</v>
      </c>
      <c r="H10" s="20">
        <v>13</v>
      </c>
      <c r="I10" s="16">
        <v>217</v>
      </c>
      <c r="J10" s="16"/>
    </row>
    <row r="11" spans="1:19">
      <c r="A11" t="s">
        <v>25</v>
      </c>
      <c r="B11" s="14">
        <v>42403</v>
      </c>
      <c r="C11" t="s">
        <v>26</v>
      </c>
      <c r="D11" s="20">
        <v>17</v>
      </c>
      <c r="E11" s="12" t="s">
        <v>44</v>
      </c>
      <c r="F11" s="8">
        <v>60</v>
      </c>
      <c r="G11" s="8">
        <v>1020</v>
      </c>
      <c r="H11" s="20">
        <v>81</v>
      </c>
      <c r="I11" s="16">
        <v>939</v>
      </c>
      <c r="J11" s="16"/>
    </row>
    <row r="12" spans="1:19">
      <c r="A12" t="s">
        <v>27</v>
      </c>
      <c r="B12" s="14">
        <v>42410</v>
      </c>
      <c r="C12" t="s">
        <v>28</v>
      </c>
      <c r="D12" s="20">
        <v>5</v>
      </c>
      <c r="E12" s="12" t="s">
        <v>44</v>
      </c>
      <c r="F12" s="8">
        <v>62</v>
      </c>
      <c r="G12" s="8">
        <v>310</v>
      </c>
      <c r="H12" s="20">
        <v>27</v>
      </c>
      <c r="I12" s="16">
        <v>283</v>
      </c>
      <c r="J12" s="16"/>
    </row>
    <row r="13" spans="1:19">
      <c r="A13" t="s">
        <v>29</v>
      </c>
      <c r="B13" s="14">
        <v>42414</v>
      </c>
      <c r="C13" t="s">
        <v>30</v>
      </c>
      <c r="D13" s="20">
        <v>12</v>
      </c>
      <c r="E13" s="12" t="s">
        <v>44</v>
      </c>
      <c r="F13" s="8">
        <v>54</v>
      </c>
      <c r="G13" s="8">
        <v>648</v>
      </c>
      <c r="H13" s="20">
        <v>51</v>
      </c>
      <c r="I13" s="16">
        <v>597</v>
      </c>
      <c r="J13" s="16"/>
    </row>
    <row r="14" spans="1:19">
      <c r="A14" t="s">
        <v>31</v>
      </c>
      <c r="B14" s="14">
        <v>42423</v>
      </c>
      <c r="C14" t="s">
        <v>19</v>
      </c>
      <c r="D14" s="20">
        <v>16</v>
      </c>
      <c r="E14" s="12" t="s">
        <v>44</v>
      </c>
      <c r="F14" s="8">
        <v>55</v>
      </c>
      <c r="G14" s="8">
        <v>880</v>
      </c>
      <c r="H14" s="20">
        <v>44</v>
      </c>
      <c r="I14" s="16">
        <v>836</v>
      </c>
      <c r="J14" s="16"/>
    </row>
    <row r="15" spans="1:19">
      <c r="A15" t="s">
        <v>32</v>
      </c>
      <c r="B15" s="14">
        <v>42429</v>
      </c>
      <c r="C15" t="s">
        <v>33</v>
      </c>
      <c r="D15" s="20">
        <v>19</v>
      </c>
      <c r="E15" s="12" t="s">
        <v>44</v>
      </c>
      <c r="F15" s="8">
        <v>32</v>
      </c>
      <c r="G15" s="8">
        <v>608</v>
      </c>
      <c r="H15" s="20">
        <v>48</v>
      </c>
      <c r="I15" s="16">
        <v>560</v>
      </c>
      <c r="J15" s="16"/>
    </row>
    <row r="16" spans="1:19">
      <c r="A16" t="s">
        <v>34</v>
      </c>
      <c r="B16" s="14">
        <v>42432</v>
      </c>
      <c r="C16" t="s">
        <v>35</v>
      </c>
      <c r="D16" s="20">
        <v>9</v>
      </c>
      <c r="E16" s="12" t="s">
        <v>44</v>
      </c>
      <c r="F16" s="8">
        <v>31</v>
      </c>
      <c r="G16" s="8">
        <v>279</v>
      </c>
      <c r="H16" s="20">
        <v>25</v>
      </c>
      <c r="I16" s="16">
        <v>254</v>
      </c>
      <c r="J16" s="16"/>
    </row>
    <row r="17" spans="1:10">
      <c r="A17" t="s">
        <v>36</v>
      </c>
      <c r="B17" s="14">
        <v>42436</v>
      </c>
      <c r="C17" t="s">
        <v>28</v>
      </c>
      <c r="D17" s="20">
        <v>17</v>
      </c>
      <c r="E17" s="12" t="s">
        <v>44</v>
      </c>
      <c r="F17" s="8">
        <v>62</v>
      </c>
      <c r="G17" s="8">
        <v>1054</v>
      </c>
      <c r="H17" s="20">
        <v>84</v>
      </c>
      <c r="I17" s="16">
        <v>970</v>
      </c>
      <c r="J17" s="16"/>
    </row>
    <row r="18" spans="1:10">
      <c r="A18" t="s">
        <v>37</v>
      </c>
      <c r="B18" s="14">
        <v>42438</v>
      </c>
      <c r="C18" t="s">
        <v>38</v>
      </c>
      <c r="D18" s="20">
        <v>19</v>
      </c>
      <c r="E18" s="12" t="s">
        <v>44</v>
      </c>
      <c r="F18" s="8">
        <v>68</v>
      </c>
      <c r="G18" s="8">
        <v>1292</v>
      </c>
      <c r="H18" s="20">
        <v>77</v>
      </c>
      <c r="I18" s="16">
        <v>1215</v>
      </c>
      <c r="J18" s="16"/>
    </row>
    <row r="19" spans="1:10">
      <c r="A19" t="s">
        <v>39</v>
      </c>
      <c r="B19" s="14">
        <v>42439</v>
      </c>
      <c r="C19" t="s">
        <v>21</v>
      </c>
      <c r="D19" s="20">
        <v>20</v>
      </c>
      <c r="E19" s="12" t="s">
        <v>44</v>
      </c>
      <c r="F19" s="8">
        <v>54</v>
      </c>
      <c r="G19" s="8">
        <v>1080</v>
      </c>
      <c r="H19" s="20">
        <v>54</v>
      </c>
      <c r="I19" s="16">
        <v>1026</v>
      </c>
      <c r="J19" s="16"/>
    </row>
    <row r="20" spans="1:10">
      <c r="A20" t="s">
        <v>40</v>
      </c>
      <c r="B20" s="14">
        <v>42441</v>
      </c>
      <c r="C20" t="s">
        <v>26</v>
      </c>
      <c r="D20" s="20">
        <v>15</v>
      </c>
      <c r="E20" s="12" t="s">
        <v>44</v>
      </c>
      <c r="F20" s="8">
        <v>60</v>
      </c>
      <c r="G20" s="8">
        <v>900</v>
      </c>
      <c r="H20" s="20">
        <v>81</v>
      </c>
      <c r="I20" s="16">
        <v>819</v>
      </c>
      <c r="J20" s="16"/>
    </row>
    <row r="21" spans="1:10">
      <c r="A21" t="s">
        <v>41</v>
      </c>
      <c r="B21" s="14">
        <v>42445</v>
      </c>
      <c r="C21" t="s">
        <v>42</v>
      </c>
      <c r="D21" s="20">
        <v>7</v>
      </c>
      <c r="E21" s="12" t="s">
        <v>44</v>
      </c>
      <c r="F21" s="8">
        <v>48</v>
      </c>
      <c r="G21" s="8">
        <v>336</v>
      </c>
      <c r="H21" s="20">
        <v>30</v>
      </c>
      <c r="I21" s="16">
        <v>306</v>
      </c>
      <c r="J21" s="1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_Frm">
                <anchor moveWithCells="1" sizeWithCells="1">
                  <from>
                    <xdr:col>10</xdr:col>
                    <xdr:colOff>241300</xdr:colOff>
                    <xdr:row>0</xdr:row>
                    <xdr:rowOff>114300</xdr:rowOff>
                  </from>
                  <to>
                    <xdr:col>13</xdr:col>
                    <xdr:colOff>196850</xdr:colOff>
                    <xdr:row>4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API_INFO</vt:lpstr>
      <vt:lpstr>LOG</vt:lpstr>
      <vt:lpstr>AI_CHAT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2025-02-05T02:00:44Z</dcterms:created>
  <dcterms:modified xsi:type="dcterms:W3CDTF">2025-04-21T12:57:33Z</dcterms:modified>
</cp:coreProperties>
</file>